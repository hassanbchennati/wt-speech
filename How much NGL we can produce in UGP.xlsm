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jan0a\Desktop\"/>
    </mc:Choice>
  </mc:AlternateContent>
  <bookViews>
    <workbookView xWindow="120" yWindow="170" windowWidth="24800" windowHeight="12600"/>
  </bookViews>
  <sheets>
    <sheet name="Input" sheetId="4" r:id="rId1"/>
  </sheets>
  <calcPr calcId="162913" calcMode="manual"/>
</workbook>
</file>

<file path=xl/calcChain.xml><?xml version="1.0" encoding="utf-8"?>
<calcChain xmlns="http://schemas.openxmlformats.org/spreadsheetml/2006/main">
  <c r="U37" i="4" l="1"/>
  <c r="AE20" i="4" s="1"/>
  <c r="U31" i="4" l="1"/>
  <c r="U43" i="4" l="1"/>
  <c r="U50" i="4" s="1"/>
  <c r="U56" i="4" s="1"/>
  <c r="AF31" i="4"/>
</calcChain>
</file>

<file path=xl/sharedStrings.xml><?xml version="1.0" encoding="utf-8"?>
<sst xmlns="http://schemas.openxmlformats.org/spreadsheetml/2006/main" count="24" uniqueCount="18">
  <si>
    <t>MMSCFD</t>
  </si>
  <si>
    <t>1)</t>
  </si>
  <si>
    <t>INPUT</t>
  </si>
  <si>
    <t>OUTPUT</t>
  </si>
  <si>
    <t>2)</t>
  </si>
  <si>
    <t>3)</t>
  </si>
  <si>
    <t>TOTAL feed rate to LRUs</t>
  </si>
  <si>
    <t>Enter Associated Gas Feed Rate</t>
  </si>
  <si>
    <t>Enter Khuff to LP Letdown</t>
  </si>
  <si>
    <t>%</t>
  </si>
  <si>
    <t xml:space="preserve">NGL Production </t>
  </si>
  <si>
    <t>MBD</t>
  </si>
  <si>
    <t>Intercepted %C2 Recovery</t>
  </si>
  <si>
    <t>4)</t>
  </si>
  <si>
    <t>Additional NGL following Khuff to LP Letdown</t>
  </si>
  <si>
    <t>5)</t>
  </si>
  <si>
    <t xml:space="preserve">How much NGL we can produce in UGP if Khuff diverted to LP Letdown? </t>
  </si>
  <si>
    <t>$ Value of the additional NGL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</si>
</sst>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0.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0"/>
      <name val="Arial"/>
      <family val="2"/>
    </font>
    <font>
      <sz val="20"/>
      <color theme="1"/>
      <name val="Calibri"/>
      <family val="2"/>
      <scheme val="minor"/>
    </font>
    <font>
      <b/>
      <sz val="20"/>
      <color rgb="FF00B05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rgb="FF000000"/>
      <name val="Arial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 style="dotted">
        <color theme="0" tint="-0.499984740745262"/>
      </top>
      <bottom/>
      <diagonal/>
    </border>
    <border>
      <left style="dotted">
        <color theme="0" tint="-0.499984740745262"/>
      </left>
      <right/>
      <top style="dotted">
        <color theme="0" tint="-0.499984740745262"/>
      </top>
      <bottom/>
      <diagonal/>
    </border>
    <border>
      <left/>
      <right style="dotted">
        <color theme="0" tint="-0.499984740745262"/>
      </right>
      <top style="dotted">
        <color theme="0" tint="-0.499984740745262"/>
      </top>
      <bottom/>
      <diagonal/>
    </border>
    <border>
      <left style="dotted">
        <color theme="0" tint="-0.499984740745262"/>
      </left>
      <right/>
      <top/>
      <bottom/>
      <diagonal/>
    </border>
    <border>
      <left/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/>
      <top/>
      <bottom style="dotted">
        <color theme="0" tint="-0.499984740745262"/>
      </bottom>
      <diagonal/>
    </border>
    <border>
      <left/>
      <right/>
      <top/>
      <bottom style="dotted">
        <color theme="0" tint="-0.499984740745262"/>
      </bottom>
      <diagonal/>
    </border>
    <border>
      <left/>
      <right style="dotted">
        <color theme="0" tint="-0.499984740745262"/>
      </right>
      <top/>
      <bottom style="dotted">
        <color theme="0" tint="-0.499984740745262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theme="1"/>
      </left>
      <right style="double">
        <color theme="1"/>
      </right>
      <top/>
      <bottom/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/>
      <right style="double">
        <color theme="1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theme="1"/>
      </top>
      <bottom/>
      <diagonal/>
    </border>
  </borders>
  <cellStyleXfs count="2">
    <xf numFmtId="0" fontId="0" fillId="0" borderId="0"/>
    <xf numFmtId="44" fontId="8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Fill="1"/>
    <xf numFmtId="0" fontId="0" fillId="0" borderId="0" xfId="0" applyFill="1" applyBorder="1"/>
    <xf numFmtId="0" fontId="0" fillId="0" borderId="0" xfId="0" applyFont="1" applyFill="1"/>
    <xf numFmtId="0" fontId="0" fillId="0" borderId="9" xfId="0" applyFill="1" applyBorder="1"/>
    <xf numFmtId="14" fontId="4" fillId="0" borderId="9" xfId="0" applyNumberFormat="1" applyFont="1" applyFill="1" applyBorder="1" applyAlignment="1">
      <alignment vertical="center"/>
    </xf>
    <xf numFmtId="0" fontId="1" fillId="0" borderId="0" xfId="0" applyFont="1" applyFill="1"/>
    <xf numFmtId="1" fontId="0" fillId="0" borderId="0" xfId="0" applyNumberFormat="1" applyFill="1"/>
    <xf numFmtId="0" fontId="0" fillId="0" borderId="0" xfId="0" applyFill="1" applyAlignment="1">
      <alignment vertical="center"/>
    </xf>
    <xf numFmtId="0" fontId="0" fillId="0" borderId="0" xfId="0" applyFont="1" applyFill="1" applyAlignment="1">
      <alignment vertical="center"/>
    </xf>
    <xf numFmtId="14" fontId="4" fillId="0" borderId="0" xfId="0" applyNumberFormat="1" applyFont="1" applyFill="1" applyAlignment="1">
      <alignment horizontal="left" vertical="center"/>
    </xf>
    <xf numFmtId="14" fontId="4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right"/>
    </xf>
    <xf numFmtId="0" fontId="2" fillId="0" borderId="0" xfId="0" applyFont="1" applyFill="1" applyAlignment="1">
      <alignment horizontal="right" vertical="center"/>
    </xf>
    <xf numFmtId="14" fontId="4" fillId="0" borderId="0" xfId="0" applyNumberFormat="1" applyFont="1" applyFill="1" applyAlignment="1">
      <alignment horizontal="center" vertical="center"/>
    </xf>
    <xf numFmtId="14" fontId="4" fillId="0" borderId="5" xfId="0" applyNumberFormat="1" applyFont="1" applyFill="1" applyBorder="1" applyAlignment="1">
      <alignment horizontal="center" vertical="center"/>
    </xf>
    <xf numFmtId="1" fontId="2" fillId="0" borderId="2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" fontId="2" fillId="0" borderId="4" xfId="0" applyNumberFormat="1" applyFont="1" applyFill="1" applyBorder="1" applyAlignment="1">
      <alignment horizontal="center" vertic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0" borderId="5" xfId="0" applyNumberFormat="1" applyFont="1" applyFill="1" applyBorder="1" applyAlignment="1">
      <alignment horizontal="center" vertical="center"/>
    </xf>
    <xf numFmtId="1" fontId="2" fillId="0" borderId="6" xfId="0" applyNumberFormat="1" applyFont="1" applyFill="1" applyBorder="1" applyAlignment="1">
      <alignment horizontal="center" vertical="center"/>
    </xf>
    <xf numFmtId="1" fontId="2" fillId="0" borderId="7" xfId="0" applyNumberFormat="1" applyFont="1" applyFill="1" applyBorder="1" applyAlignment="1">
      <alignment horizontal="center" vertical="center"/>
    </xf>
    <xf numFmtId="1" fontId="2" fillId="0" borderId="8" xfId="0" applyNumberFormat="1" applyFont="1" applyFill="1" applyBorder="1" applyAlignment="1">
      <alignment horizontal="center" vertical="center"/>
    </xf>
    <xf numFmtId="14" fontId="4" fillId="0" borderId="4" xfId="0" applyNumberFormat="1" applyFont="1" applyFill="1" applyBorder="1" applyAlignment="1">
      <alignment horizontal="left" vertical="center"/>
    </xf>
    <xf numFmtId="14" fontId="4" fillId="0" borderId="0" xfId="0" applyNumberFormat="1" applyFont="1" applyFill="1" applyBorder="1" applyAlignment="1">
      <alignment horizontal="left" vertical="center"/>
    </xf>
    <xf numFmtId="14" fontId="4" fillId="0" borderId="0" xfId="0" applyNumberFormat="1" applyFont="1" applyFill="1" applyAlignment="1">
      <alignment horizontal="left" vertical="center"/>
    </xf>
    <xf numFmtId="14" fontId="4" fillId="0" borderId="5" xfId="0" applyNumberFormat="1" applyFont="1" applyFill="1" applyBorder="1" applyAlignment="1">
      <alignment horizontal="left" vertical="center"/>
    </xf>
    <xf numFmtId="164" fontId="2" fillId="0" borderId="2" xfId="0" applyNumberFormat="1" applyFont="1" applyFill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164" fontId="2" fillId="0" borderId="3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2" fillId="0" borderId="5" xfId="0" applyNumberFormat="1" applyFont="1" applyFill="1" applyBorder="1" applyAlignment="1">
      <alignment horizontal="center" vertical="center"/>
    </xf>
    <xf numFmtId="164" fontId="2" fillId="0" borderId="6" xfId="0" applyNumberFormat="1" applyFont="1" applyFill="1" applyBorder="1" applyAlignment="1">
      <alignment horizontal="center" vertical="center"/>
    </xf>
    <xf numFmtId="164" fontId="2" fillId="0" borderId="7" xfId="0" applyNumberFormat="1" applyFont="1" applyFill="1" applyBorder="1" applyAlignment="1">
      <alignment horizontal="center" vertical="center"/>
    </xf>
    <xf numFmtId="164" fontId="2" fillId="0" borderId="8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right"/>
    </xf>
    <xf numFmtId="14" fontId="5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right" vertical="top"/>
    </xf>
    <xf numFmtId="0" fontId="3" fillId="2" borderId="0" xfId="0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 wrapText="1"/>
    </xf>
    <xf numFmtId="14" fontId="4" fillId="0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2" fillId="0" borderId="0" xfId="0" applyFont="1" applyFill="1" applyBorder="1" applyAlignment="1">
      <alignment horizontal="right"/>
    </xf>
    <xf numFmtId="0" fontId="0" fillId="0" borderId="0" xfId="0" applyFill="1" applyAlignment="1">
      <alignment horizontal="left"/>
    </xf>
    <xf numFmtId="0" fontId="4" fillId="0" borderId="0" xfId="0" applyFont="1" applyFill="1" applyBorder="1" applyAlignment="1">
      <alignment horizontal="left" vertical="center"/>
    </xf>
    <xf numFmtId="44" fontId="2" fillId="0" borderId="2" xfId="1" applyFont="1" applyFill="1" applyBorder="1" applyAlignment="1">
      <alignment horizontal="center" vertical="center"/>
    </xf>
    <xf numFmtId="44" fontId="2" fillId="0" borderId="1" xfId="1" applyFont="1" applyFill="1" applyBorder="1" applyAlignment="1">
      <alignment horizontal="center" vertical="center"/>
    </xf>
    <xf numFmtId="44" fontId="2" fillId="0" borderId="3" xfId="1" applyFont="1" applyFill="1" applyBorder="1" applyAlignment="1">
      <alignment horizontal="center" vertical="center"/>
    </xf>
    <xf numFmtId="44" fontId="2" fillId="0" borderId="6" xfId="1" applyFont="1" applyFill="1" applyBorder="1" applyAlignment="1">
      <alignment horizontal="center" vertical="center"/>
    </xf>
    <xf numFmtId="44" fontId="2" fillId="0" borderId="7" xfId="1" applyFont="1" applyFill="1" applyBorder="1" applyAlignment="1">
      <alignment horizontal="center" vertical="center"/>
    </xf>
    <xf numFmtId="44" fontId="2" fillId="0" borderId="8" xfId="1" applyFont="1" applyFill="1" applyBorder="1" applyAlignment="1">
      <alignment horizontal="center" vertical="center"/>
    </xf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</cellXfs>
  <cellStyles count="2">
    <cellStyle name="Currency" xfId="1" builtinId="4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6</xdr:row>
      <xdr:rowOff>0</xdr:rowOff>
    </xdr:from>
    <xdr:to>
      <xdr:col>11</xdr:col>
      <xdr:colOff>304800</xdr:colOff>
      <xdr:row>7</xdr:row>
      <xdr:rowOff>114300</xdr:rowOff>
    </xdr:to>
    <xdr:sp macro="" textlink="">
      <xdr:nvSpPr>
        <xdr:cNvPr id="1025" name="AutoShape 1" descr="http://www.google.com.sa/url?sa=i&amp;source=images&amp;cd=&amp;ved=0CAUQjBw&amp;url=http%3A%2F%2Fwww.biomassenergy.gr%2Fphotos%2Fw_800px%2Faa11c6_Waste%2520to%2520energy.jpg&amp;ei=rrG_VNzTLM7YPY37gcAK&amp;psig=AFQjCNH729HYJpr7ImjiI0piYKOsm81gmw&amp;ust=1421935406803910"/>
        <xdr:cNvSpPr>
          <a:spLocks noChangeAspect="1" noChangeArrowheads="1"/>
        </xdr:cNvSpPr>
      </xdr:nvSpPr>
      <xdr:spPr bwMode="auto">
        <a:xfrm>
          <a:off x="6705600" y="11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371474</xdr:colOff>
      <xdr:row>7</xdr:row>
      <xdr:rowOff>9526</xdr:rowOff>
    </xdr:from>
    <xdr:to>
      <xdr:col>19</xdr:col>
      <xdr:colOff>571499</xdr:colOff>
      <xdr:row>17</xdr:row>
      <xdr:rowOff>22412</xdr:rowOff>
    </xdr:to>
    <xdr:sp macro="" textlink="">
      <xdr:nvSpPr>
        <xdr:cNvPr id="5" name="TextBox 4"/>
        <xdr:cNvSpPr txBox="1"/>
      </xdr:nvSpPr>
      <xdr:spPr>
        <a:xfrm>
          <a:off x="6400239" y="1343026"/>
          <a:ext cx="6273613" cy="1917886"/>
        </a:xfrm>
        <a:prstGeom prst="rect">
          <a:avLst/>
        </a:prstGeom>
        <a:solidFill>
          <a:schemeClr val="lt1"/>
        </a:solidFill>
        <a:ln w="19050" cmpd="sng">
          <a:solidFill>
            <a:schemeClr val="bg1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 b="0">
              <a:latin typeface="Arial" panose="020B0604020202020204" pitchFamily="34" charset="0"/>
              <a:cs typeface="Arial" panose="020B0604020202020204" pitchFamily="34" charset="0"/>
            </a:rPr>
            <a:t>This</a:t>
          </a:r>
          <a:r>
            <a:rPr lang="en-US" sz="1400" b="0" baseline="0">
              <a:latin typeface="Arial" panose="020B0604020202020204" pitchFamily="34" charset="0"/>
              <a:cs typeface="Arial" panose="020B0604020202020204" pitchFamily="34" charset="0"/>
            </a:rPr>
            <a:t> spreadsheet only requires two data entry</a:t>
          </a:r>
        </a:p>
        <a:p>
          <a:pPr algn="ctr"/>
          <a:endParaRPr lang="en-US" sz="1400" b="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the Associated Gas Feed Rate and Khuff to LP let down in MMSCFD.</a:t>
          </a:r>
        </a:p>
        <a:p>
          <a:pPr algn="l"/>
          <a:endParaRPr lang="en-US" sz="14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Notes:</a:t>
          </a:r>
        </a:p>
        <a:p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calculation is based on +/- 5%</a:t>
          </a:r>
        </a:p>
        <a:p>
          <a:pPr algn="l"/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data was calculated based on the historical data and HYSYS Simulation.</a:t>
          </a:r>
        </a:p>
        <a:p>
          <a:pPr algn="l"/>
          <a:r>
            <a:rPr lang="en-US" sz="14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The tool is not the final version. (under testing now)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23</xdr:row>
          <xdr:rowOff>76200</xdr:rowOff>
        </xdr:from>
        <xdr:to>
          <xdr:col>15</xdr:col>
          <xdr:colOff>508000</xdr:colOff>
          <xdr:row>27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F57"/>
  <sheetViews>
    <sheetView showGridLines="0" tabSelected="1" zoomScale="48" zoomScaleNormal="85" workbookViewId="0">
      <selection activeCell="I65" sqref="I65"/>
    </sheetView>
  </sheetViews>
  <sheetFormatPr defaultColWidth="9.1796875" defaultRowHeight="14.5" x14ac:dyDescent="0.35"/>
  <cols>
    <col min="1" max="1" width="6.54296875" style="1" customWidth="1"/>
    <col min="2" max="5" width="9.1796875" style="1"/>
    <col min="6" max="6" width="29.453125" style="1" customWidth="1"/>
    <col min="7" max="13" width="9.1796875" style="1"/>
    <col min="14" max="14" width="2.54296875" style="1" customWidth="1"/>
    <col min="15" max="15" width="6.81640625" style="1" customWidth="1"/>
    <col min="16" max="16" width="69.81640625" style="1" bestFit="1" customWidth="1"/>
    <col min="17" max="17" width="0" style="1" hidden="1" customWidth="1"/>
    <col min="18" max="18" width="1" style="1" hidden="1" customWidth="1"/>
    <col min="19" max="19" width="3.26953125" style="1" hidden="1" customWidth="1"/>
    <col min="20" max="20" width="0.1796875" style="1" hidden="1" customWidth="1"/>
    <col min="21" max="21" width="11.7265625" style="1" customWidth="1"/>
    <col min="22" max="24" width="9.1796875" style="1"/>
    <col min="25" max="25" width="17.81640625" style="1" customWidth="1"/>
    <col min="26" max="28" width="9.1796875" style="1"/>
    <col min="29" max="29" width="9.7265625" style="1" bestFit="1" customWidth="1"/>
    <col min="30" max="16384" width="9.1796875" style="1"/>
  </cols>
  <sheetData>
    <row r="2" spans="2:27" ht="15" customHeight="1" x14ac:dyDescent="0.35">
      <c r="B2" s="44" t="s">
        <v>16</v>
      </c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</row>
    <row r="3" spans="2:27" ht="15" customHeight="1" x14ac:dyDescent="0.3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</row>
    <row r="4" spans="2:27" ht="15" customHeight="1" x14ac:dyDescent="0.35">
      <c r="B4" s="4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</row>
    <row r="5" spans="2:27" ht="15" customHeight="1" x14ac:dyDescent="0.35"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</row>
    <row r="6" spans="2:27" ht="15" customHeight="1" x14ac:dyDescent="0.35"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</row>
    <row r="10" spans="2:27" x14ac:dyDescent="0.35">
      <c r="G10" s="47"/>
      <c r="H10" s="47"/>
      <c r="I10" s="47"/>
      <c r="J10" s="47"/>
      <c r="K10" s="47"/>
    </row>
    <row r="11" spans="2:27" x14ac:dyDescent="0.35">
      <c r="G11" s="47"/>
      <c r="H11" s="47"/>
      <c r="I11" s="47"/>
      <c r="J11" s="47"/>
      <c r="K11" s="47"/>
    </row>
    <row r="15" spans="2:27" ht="15" customHeight="1" x14ac:dyDescent="0.35"/>
    <row r="16" spans="2:27" ht="15" customHeight="1" x14ac:dyDescent="0.35"/>
    <row r="17" spans="1:32" ht="15" customHeight="1" x14ac:dyDescent="0.35"/>
    <row r="18" spans="1:32" ht="15" customHeight="1" x14ac:dyDescent="0.35"/>
    <row r="19" spans="1:32" ht="15" customHeight="1" x14ac:dyDescent="0.35"/>
    <row r="20" spans="1:32" ht="15" customHeight="1" x14ac:dyDescent="0.35">
      <c r="AE20" s="6">
        <f>U37*U31/100</f>
        <v>961.11599999999987</v>
      </c>
    </row>
    <row r="21" spans="1:32" ht="15" customHeight="1" x14ac:dyDescent="0.35"/>
    <row r="22" spans="1:32" ht="15" customHeight="1" x14ac:dyDescent="0.35"/>
    <row r="23" spans="1:32" ht="15" customHeight="1" x14ac:dyDescent="0.35"/>
    <row r="24" spans="1:32" ht="15" customHeight="1" x14ac:dyDescent="0.35">
      <c r="J24" s="47"/>
      <c r="K24" s="47"/>
      <c r="L24" s="47"/>
      <c r="M24" s="47"/>
      <c r="N24" s="47"/>
      <c r="O24" s="47"/>
      <c r="P24" s="47"/>
    </row>
    <row r="25" spans="1:32" x14ac:dyDescent="0.35">
      <c r="J25" s="47"/>
      <c r="K25" s="47"/>
      <c r="L25" s="47"/>
      <c r="M25" s="47"/>
      <c r="N25" s="47"/>
      <c r="O25" s="47"/>
      <c r="P25" s="47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7" spans="1:32" x14ac:dyDescent="0.35">
      <c r="P27" s="41" t="s">
        <v>3</v>
      </c>
      <c r="Q27" s="41"/>
      <c r="R27" s="41"/>
      <c r="S27" s="41"/>
      <c r="T27" s="41"/>
    </row>
    <row r="28" spans="1:32" ht="15" thickBot="1" x14ac:dyDescent="0.4">
      <c r="B28" s="42" t="s">
        <v>2</v>
      </c>
      <c r="C28" s="42"/>
      <c r="D28" s="42"/>
      <c r="E28" s="42"/>
      <c r="F28" s="42"/>
      <c r="P28" s="41"/>
      <c r="Q28" s="41"/>
      <c r="R28" s="41"/>
      <c r="S28" s="41"/>
      <c r="T28" s="41"/>
    </row>
    <row r="29" spans="1:32" ht="15" thickTop="1" x14ac:dyDescent="0.35">
      <c r="B29" s="42"/>
      <c r="C29" s="42"/>
      <c r="D29" s="42"/>
      <c r="E29" s="42"/>
      <c r="F29" s="42"/>
      <c r="N29" s="60"/>
      <c r="P29" s="41"/>
      <c r="Q29" s="41"/>
      <c r="R29" s="41"/>
      <c r="S29" s="41"/>
      <c r="T29" s="41"/>
    </row>
    <row r="30" spans="1:32" x14ac:dyDescent="0.35">
      <c r="B30" s="42"/>
      <c r="C30" s="42"/>
      <c r="D30" s="42"/>
      <c r="E30" s="42"/>
      <c r="F30" s="42"/>
      <c r="N30" s="4"/>
      <c r="P30" s="41"/>
      <c r="Q30" s="41"/>
      <c r="R30" s="41"/>
      <c r="S30" s="41"/>
      <c r="T30" s="41"/>
    </row>
    <row r="31" spans="1:32" x14ac:dyDescent="0.35">
      <c r="B31" s="42"/>
      <c r="C31" s="42"/>
      <c r="D31" s="42"/>
      <c r="E31" s="42"/>
      <c r="F31" s="42"/>
      <c r="N31" s="4"/>
      <c r="P31" s="27" t="s">
        <v>6</v>
      </c>
      <c r="Q31" s="27"/>
      <c r="R31" s="27"/>
      <c r="S31" s="27"/>
      <c r="T31" s="28"/>
      <c r="U31" s="16">
        <f>(G32+G38)*0.915</f>
        <v>1189.5</v>
      </c>
      <c r="V31" s="17"/>
      <c r="W31" s="17"/>
      <c r="X31" s="17"/>
      <c r="Y31" s="18"/>
      <c r="Z31" s="25" t="s">
        <v>0</v>
      </c>
      <c r="AA31" s="38"/>
      <c r="AB31" s="38"/>
      <c r="AC31" s="38"/>
      <c r="AD31" s="38"/>
      <c r="AF31" s="6">
        <f>U31*0.7629-227</f>
        <v>680.46955000000003</v>
      </c>
    </row>
    <row r="32" spans="1:32" ht="26" x14ac:dyDescent="0.35">
      <c r="A32" s="13" t="s">
        <v>1</v>
      </c>
      <c r="B32" s="45" t="s">
        <v>7</v>
      </c>
      <c r="C32" s="45"/>
      <c r="D32" s="45"/>
      <c r="E32" s="45"/>
      <c r="F32" s="46"/>
      <c r="G32" s="16">
        <v>1200</v>
      </c>
      <c r="H32" s="17"/>
      <c r="I32" s="17"/>
      <c r="J32" s="17"/>
      <c r="K32" s="18"/>
      <c r="L32" s="25" t="s">
        <v>0</v>
      </c>
      <c r="M32" s="26"/>
      <c r="N32" s="5"/>
      <c r="O32" s="43" t="s">
        <v>1</v>
      </c>
      <c r="P32" s="27"/>
      <c r="Q32" s="27"/>
      <c r="R32" s="27"/>
      <c r="S32" s="27"/>
      <c r="T32" s="28"/>
      <c r="U32" s="19"/>
      <c r="V32" s="20"/>
      <c r="W32" s="20"/>
      <c r="X32" s="20"/>
      <c r="Y32" s="21"/>
      <c r="Z32" s="39"/>
      <c r="AA32" s="38"/>
      <c r="AB32" s="38"/>
      <c r="AC32" s="38"/>
      <c r="AD32" s="38"/>
    </row>
    <row r="33" spans="1:30" ht="19.5" customHeight="1" x14ac:dyDescent="0.35">
      <c r="A33" s="13"/>
      <c r="B33" s="45"/>
      <c r="C33" s="45"/>
      <c r="D33" s="45"/>
      <c r="E33" s="45"/>
      <c r="F33" s="46"/>
      <c r="G33" s="19"/>
      <c r="H33" s="20"/>
      <c r="I33" s="20"/>
      <c r="J33" s="20"/>
      <c r="K33" s="21"/>
      <c r="L33" s="25"/>
      <c r="M33" s="26"/>
      <c r="N33" s="5"/>
      <c r="O33" s="43"/>
      <c r="P33" s="27"/>
      <c r="Q33" s="27"/>
      <c r="R33" s="27"/>
      <c r="S33" s="27"/>
      <c r="T33" s="28"/>
      <c r="U33" s="19"/>
      <c r="V33" s="20"/>
      <c r="W33" s="20"/>
      <c r="X33" s="20"/>
      <c r="Y33" s="21"/>
      <c r="Z33" s="39"/>
      <c r="AA33" s="38"/>
      <c r="AB33" s="38"/>
      <c r="AC33" s="38"/>
      <c r="AD33" s="38"/>
    </row>
    <row r="34" spans="1:30" ht="6.75" customHeight="1" x14ac:dyDescent="0.35">
      <c r="A34" s="13"/>
      <c r="B34" s="45"/>
      <c r="C34" s="45"/>
      <c r="D34" s="45"/>
      <c r="E34" s="45"/>
      <c r="F34" s="46"/>
      <c r="G34" s="19"/>
      <c r="H34" s="20"/>
      <c r="I34" s="20"/>
      <c r="J34" s="20"/>
      <c r="K34" s="21"/>
      <c r="L34" s="25"/>
      <c r="M34" s="26"/>
      <c r="N34" s="5"/>
      <c r="P34" s="27"/>
      <c r="Q34" s="27"/>
      <c r="R34" s="27"/>
      <c r="S34" s="27"/>
      <c r="T34" s="28"/>
      <c r="U34" s="22"/>
      <c r="V34" s="23"/>
      <c r="W34" s="23"/>
      <c r="X34" s="23"/>
      <c r="Y34" s="24"/>
      <c r="Z34" s="39"/>
      <c r="AA34" s="38"/>
      <c r="AB34" s="38"/>
      <c r="AC34" s="38"/>
      <c r="AD34" s="38"/>
    </row>
    <row r="35" spans="1:30" ht="26" x14ac:dyDescent="0.35">
      <c r="A35" s="13"/>
      <c r="B35" s="45"/>
      <c r="C35" s="45"/>
      <c r="D35" s="45"/>
      <c r="E35" s="45"/>
      <c r="F35" s="46"/>
      <c r="G35" s="22"/>
      <c r="H35" s="23"/>
      <c r="I35" s="23"/>
      <c r="J35" s="23"/>
      <c r="K35" s="24"/>
      <c r="L35" s="25"/>
      <c r="M35" s="26"/>
      <c r="N35" s="5"/>
      <c r="P35" s="8"/>
      <c r="Q35" s="8"/>
      <c r="R35" s="8"/>
      <c r="S35" s="8"/>
      <c r="T35" s="9"/>
      <c r="U35" s="3"/>
      <c r="V35" s="3"/>
      <c r="W35" s="3"/>
      <c r="X35" s="3"/>
      <c r="Y35" s="3"/>
      <c r="Z35" s="3"/>
    </row>
    <row r="36" spans="1:30" x14ac:dyDescent="0.35">
      <c r="N36" s="4"/>
      <c r="P36" s="9"/>
      <c r="Q36" s="9"/>
      <c r="R36" s="9"/>
      <c r="S36" s="9"/>
      <c r="T36" s="9"/>
      <c r="U36" s="3"/>
      <c r="V36" s="3"/>
      <c r="W36" s="3"/>
      <c r="X36" s="3"/>
      <c r="Y36" s="3"/>
      <c r="Z36" s="3"/>
    </row>
    <row r="37" spans="1:30" x14ac:dyDescent="0.35">
      <c r="N37" s="4"/>
      <c r="P37" s="27" t="s">
        <v>12</v>
      </c>
      <c r="Q37" s="27"/>
      <c r="R37" s="27"/>
      <c r="S37" s="27"/>
      <c r="T37" s="28"/>
      <c r="U37" s="29">
        <f>100*IF(U31&lt;=1000,"Low Feed",IF(U31&lt;=1250,-0.0002*G38+0.828,IF(U31&lt;=1350,-0.0002*Q5+0.813,IF(U31&lt;=1450,-0.0002*Q5+0.794,IF(U31&lt;=1550,-0.0002*Q5+0.774,IF(U31&gt;=1550,-0.0002*Q5+0.749,"ERROR"))))))</f>
        <v>80.8</v>
      </c>
      <c r="V37" s="30"/>
      <c r="W37" s="30"/>
      <c r="X37" s="30"/>
      <c r="Y37" s="31"/>
      <c r="Z37" s="25" t="s">
        <v>9</v>
      </c>
      <c r="AA37" s="38"/>
      <c r="AB37" s="38"/>
      <c r="AC37" s="38"/>
      <c r="AD37" s="38"/>
    </row>
    <row r="38" spans="1:30" x14ac:dyDescent="0.35">
      <c r="A38" s="13" t="s">
        <v>4</v>
      </c>
      <c r="B38" s="14" t="s">
        <v>8</v>
      </c>
      <c r="C38" s="14"/>
      <c r="D38" s="14"/>
      <c r="E38" s="14"/>
      <c r="F38" s="15"/>
      <c r="G38" s="16">
        <v>100</v>
      </c>
      <c r="H38" s="17"/>
      <c r="I38" s="17"/>
      <c r="J38" s="17"/>
      <c r="K38" s="18"/>
      <c r="L38" s="25" t="s">
        <v>0</v>
      </c>
      <c r="M38" s="26"/>
      <c r="N38" s="4"/>
      <c r="O38" s="40" t="s">
        <v>4</v>
      </c>
      <c r="P38" s="27"/>
      <c r="Q38" s="27"/>
      <c r="R38" s="27"/>
      <c r="S38" s="27"/>
      <c r="T38" s="28"/>
      <c r="U38" s="32"/>
      <c r="V38" s="33"/>
      <c r="W38" s="33"/>
      <c r="X38" s="33"/>
      <c r="Y38" s="34"/>
      <c r="Z38" s="39"/>
      <c r="AA38" s="38"/>
      <c r="AB38" s="38"/>
      <c r="AC38" s="38"/>
      <c r="AD38" s="38"/>
    </row>
    <row r="39" spans="1:30" x14ac:dyDescent="0.35">
      <c r="A39" s="13"/>
      <c r="B39" s="14"/>
      <c r="C39" s="14"/>
      <c r="D39" s="14"/>
      <c r="E39" s="14"/>
      <c r="F39" s="15"/>
      <c r="G39" s="19"/>
      <c r="H39" s="20"/>
      <c r="I39" s="20"/>
      <c r="J39" s="20"/>
      <c r="K39" s="21"/>
      <c r="L39" s="25"/>
      <c r="M39" s="26"/>
      <c r="N39" s="4"/>
      <c r="O39" s="40"/>
      <c r="P39" s="27"/>
      <c r="Q39" s="27"/>
      <c r="R39" s="27"/>
      <c r="S39" s="27"/>
      <c r="T39" s="28"/>
      <c r="U39" s="32"/>
      <c r="V39" s="33"/>
      <c r="W39" s="33"/>
      <c r="X39" s="33"/>
      <c r="Y39" s="34"/>
      <c r="Z39" s="39"/>
      <c r="AA39" s="38"/>
      <c r="AB39" s="38"/>
      <c r="AC39" s="38"/>
      <c r="AD39" s="38"/>
    </row>
    <row r="40" spans="1:30" x14ac:dyDescent="0.35">
      <c r="A40" s="13"/>
      <c r="B40" s="14"/>
      <c r="C40" s="14"/>
      <c r="D40" s="14"/>
      <c r="E40" s="14"/>
      <c r="F40" s="15"/>
      <c r="G40" s="19"/>
      <c r="H40" s="20"/>
      <c r="I40" s="20"/>
      <c r="J40" s="20"/>
      <c r="K40" s="21"/>
      <c r="L40" s="25"/>
      <c r="M40" s="26"/>
      <c r="N40" s="4"/>
      <c r="P40" s="27"/>
      <c r="Q40" s="27"/>
      <c r="R40" s="27"/>
      <c r="S40" s="27"/>
      <c r="T40" s="28"/>
      <c r="U40" s="35"/>
      <c r="V40" s="36"/>
      <c r="W40" s="36"/>
      <c r="X40" s="36"/>
      <c r="Y40" s="37"/>
      <c r="Z40" s="39"/>
      <c r="AA40" s="38"/>
      <c r="AB40" s="38"/>
      <c r="AC40" s="38"/>
      <c r="AD40" s="38"/>
    </row>
    <row r="41" spans="1:30" x14ac:dyDescent="0.35">
      <c r="A41" s="13"/>
      <c r="B41" s="14"/>
      <c r="C41" s="14"/>
      <c r="D41" s="14"/>
      <c r="E41" s="14"/>
      <c r="F41" s="15"/>
      <c r="G41" s="22"/>
      <c r="H41" s="23"/>
      <c r="I41" s="23"/>
      <c r="J41" s="23"/>
      <c r="K41" s="24"/>
      <c r="L41" s="25"/>
      <c r="M41" s="26"/>
      <c r="N41" s="4"/>
      <c r="P41" s="9"/>
      <c r="Q41" s="9"/>
      <c r="R41" s="9"/>
      <c r="S41" s="9"/>
      <c r="T41" s="9"/>
      <c r="U41" s="3"/>
      <c r="V41" s="3"/>
      <c r="W41" s="3"/>
      <c r="X41" s="3"/>
      <c r="Y41" s="3"/>
      <c r="Z41" s="3"/>
    </row>
    <row r="42" spans="1:30" x14ac:dyDescent="0.35">
      <c r="N42" s="4"/>
      <c r="P42" s="8"/>
      <c r="Q42" s="8"/>
      <c r="R42" s="8"/>
      <c r="S42" s="8"/>
      <c r="T42" s="8"/>
      <c r="V42" s="3"/>
      <c r="W42" s="3"/>
      <c r="X42" s="3"/>
      <c r="Y42" s="3"/>
      <c r="Z42" s="3"/>
    </row>
    <row r="43" spans="1:30" x14ac:dyDescent="0.35">
      <c r="H43" s="2"/>
      <c r="I43" s="2"/>
      <c r="N43" s="4"/>
      <c r="P43" s="27" t="s">
        <v>10</v>
      </c>
      <c r="Q43" s="27"/>
      <c r="R43" s="27"/>
      <c r="S43" s="27"/>
      <c r="T43" s="28"/>
      <c r="U43" s="16">
        <f>AE20*0.2613+5.8775</f>
        <v>257.01711079999995</v>
      </c>
      <c r="V43" s="17"/>
      <c r="W43" s="17"/>
      <c r="X43" s="17"/>
      <c r="Y43" s="18"/>
      <c r="Z43" s="25" t="s">
        <v>11</v>
      </c>
      <c r="AA43" s="38"/>
      <c r="AB43" s="38"/>
      <c r="AC43" s="38"/>
      <c r="AD43" s="38"/>
    </row>
    <row r="44" spans="1:30" x14ac:dyDescent="0.35">
      <c r="N44" s="4"/>
      <c r="O44" s="40" t="s">
        <v>5</v>
      </c>
      <c r="P44" s="27"/>
      <c r="Q44" s="27"/>
      <c r="R44" s="27"/>
      <c r="S44" s="27"/>
      <c r="T44" s="28"/>
      <c r="U44" s="19"/>
      <c r="V44" s="20"/>
      <c r="W44" s="20"/>
      <c r="X44" s="20"/>
      <c r="Y44" s="21"/>
      <c r="Z44" s="39"/>
      <c r="AA44" s="38"/>
      <c r="AB44" s="38"/>
      <c r="AC44" s="38"/>
      <c r="AD44" s="38"/>
    </row>
    <row r="45" spans="1:30" x14ac:dyDescent="0.35">
      <c r="N45" s="4"/>
      <c r="O45" s="40"/>
      <c r="P45" s="27"/>
      <c r="Q45" s="27"/>
      <c r="R45" s="27"/>
      <c r="S45" s="27"/>
      <c r="T45" s="28"/>
      <c r="U45" s="19"/>
      <c r="V45" s="20"/>
      <c r="W45" s="20"/>
      <c r="X45" s="20"/>
      <c r="Y45" s="21"/>
      <c r="Z45" s="39"/>
      <c r="AA45" s="38"/>
      <c r="AB45" s="38"/>
      <c r="AC45" s="38"/>
      <c r="AD45" s="38"/>
    </row>
    <row r="46" spans="1:30" x14ac:dyDescent="0.35">
      <c r="N46" s="4"/>
      <c r="P46" s="27"/>
      <c r="Q46" s="27"/>
      <c r="R46" s="27"/>
      <c r="S46" s="27"/>
      <c r="T46" s="28"/>
      <c r="U46" s="22"/>
      <c r="V46" s="23"/>
      <c r="W46" s="23"/>
      <c r="X46" s="23"/>
      <c r="Y46" s="24"/>
      <c r="Z46" s="39"/>
      <c r="AA46" s="38"/>
      <c r="AB46" s="38"/>
      <c r="AC46" s="38"/>
      <c r="AD46" s="38"/>
    </row>
    <row r="47" spans="1:30" x14ac:dyDescent="0.35">
      <c r="M47" s="59"/>
      <c r="N47" s="57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30" hidden="1" x14ac:dyDescent="0.35">
      <c r="M48" s="59"/>
      <c r="N48" s="57"/>
      <c r="O48" s="2"/>
      <c r="AA48" s="7"/>
    </row>
    <row r="49" spans="13:30" ht="12.5" customHeight="1" x14ac:dyDescent="0.35">
      <c r="M49" s="59"/>
      <c r="N49" s="57"/>
      <c r="O49" s="2"/>
      <c r="P49" s="10"/>
      <c r="Q49" s="10"/>
      <c r="R49" s="10"/>
      <c r="S49" s="10"/>
      <c r="T49" s="11"/>
      <c r="U49" s="2"/>
    </row>
    <row r="50" spans="13:30" ht="31" x14ac:dyDescent="0.7">
      <c r="M50" s="59"/>
      <c r="N50" s="57"/>
      <c r="O50" s="48" t="s">
        <v>13</v>
      </c>
      <c r="P50" s="10" t="s">
        <v>14</v>
      </c>
      <c r="Q50" s="10"/>
      <c r="R50" s="10"/>
      <c r="S50" s="10"/>
      <c r="T50" s="11"/>
      <c r="U50" s="16">
        <f>(U43)-((((G32)*0.915)*(100*IF(U31&lt;=1000,"Low Feed",IF(U31&lt;=1250,-0.0002*G38+0.828,IF(U31&lt;=1350,-0.0002*Q5+0.813,IF(U31&lt;=1450,-0.0002*Q5+0.794,IF(U31&lt;=1550,-0.0002*Q5+0.774,IF(U31&gt;=1550,-0.0002*Q5+0.749,"ERROR")))))))/100)*0.2613+5.8775)</f>
        <v>19.318431599999997</v>
      </c>
      <c r="V50" s="17"/>
      <c r="W50" s="17"/>
      <c r="X50" s="17"/>
      <c r="Y50" s="18"/>
      <c r="Z50" s="26" t="s">
        <v>11</v>
      </c>
      <c r="AA50" s="38"/>
      <c r="AB50" s="38"/>
      <c r="AC50" s="38"/>
      <c r="AD50" s="38"/>
    </row>
    <row r="51" spans="13:30" ht="8" hidden="1" customHeight="1" x14ac:dyDescent="0.7">
      <c r="M51" s="2"/>
      <c r="N51" s="57"/>
      <c r="O51" s="12"/>
      <c r="P51" s="10"/>
      <c r="Q51" s="10"/>
      <c r="R51" s="10"/>
      <c r="S51" s="10"/>
      <c r="T51" s="11"/>
      <c r="U51" s="19"/>
      <c r="V51" s="20"/>
      <c r="W51" s="20"/>
      <c r="X51" s="20"/>
      <c r="Y51" s="21"/>
      <c r="Z51" s="50" t="s">
        <v>11</v>
      </c>
      <c r="AA51" s="38"/>
      <c r="AB51" s="38"/>
      <c r="AC51" s="38"/>
      <c r="AD51" s="38"/>
    </row>
    <row r="52" spans="13:30" ht="14.5" hidden="1" customHeight="1" x14ac:dyDescent="0.35">
      <c r="M52" s="2"/>
      <c r="N52" s="57"/>
      <c r="P52" s="10"/>
      <c r="Q52" s="10"/>
      <c r="R52" s="10"/>
      <c r="S52" s="10"/>
      <c r="T52" s="11"/>
      <c r="U52" s="19"/>
      <c r="V52" s="20"/>
      <c r="W52" s="20"/>
      <c r="X52" s="20"/>
      <c r="Y52" s="21"/>
      <c r="Z52" s="50"/>
      <c r="AA52" s="38"/>
      <c r="AB52" s="38"/>
      <c r="AC52" s="38"/>
      <c r="AD52" s="38"/>
    </row>
    <row r="53" spans="13:30" ht="14.5" customHeight="1" x14ac:dyDescent="0.35">
      <c r="N53" s="57"/>
      <c r="P53" s="49"/>
      <c r="Q53" s="49"/>
      <c r="R53" s="49"/>
      <c r="S53" s="49"/>
      <c r="T53" s="49"/>
      <c r="U53" s="22"/>
      <c r="V53" s="23"/>
      <c r="W53" s="23"/>
      <c r="X53" s="23"/>
      <c r="Y53" s="24"/>
      <c r="Z53" s="50"/>
      <c r="AA53" s="38"/>
      <c r="AB53" s="38"/>
      <c r="AC53" s="38"/>
      <c r="AD53" s="38"/>
    </row>
    <row r="54" spans="13:30" ht="14.5" customHeight="1" x14ac:dyDescent="0.35">
      <c r="N54" s="57"/>
      <c r="U54" s="2"/>
      <c r="V54" s="2"/>
      <c r="W54" s="2"/>
      <c r="X54" s="2"/>
      <c r="Y54" s="2"/>
    </row>
    <row r="55" spans="13:30" x14ac:dyDescent="0.35">
      <c r="N55" s="57"/>
    </row>
    <row r="56" spans="13:30" ht="31.5" thickBot="1" x14ac:dyDescent="0.75">
      <c r="N56" s="58"/>
      <c r="O56" s="48" t="s">
        <v>15</v>
      </c>
      <c r="P56" s="10" t="s">
        <v>17</v>
      </c>
      <c r="U56" s="51">
        <f>(U50/0.26)*1080*15.05</f>
        <v>1207699.1816399998</v>
      </c>
      <c r="V56" s="52"/>
      <c r="W56" s="52"/>
      <c r="X56" s="52"/>
      <c r="Y56" s="53"/>
    </row>
    <row r="57" spans="13:30" ht="15" thickTop="1" x14ac:dyDescent="0.35">
      <c r="U57" s="54"/>
      <c r="V57" s="55"/>
      <c r="W57" s="55"/>
      <c r="X57" s="55"/>
      <c r="Y57" s="56"/>
    </row>
  </sheetData>
  <mergeCells count="28">
    <mergeCell ref="U56:Y57"/>
    <mergeCell ref="U50:Y53"/>
    <mergeCell ref="Z50:AD53"/>
    <mergeCell ref="B2:AA6"/>
    <mergeCell ref="B32:F35"/>
    <mergeCell ref="G10:K11"/>
    <mergeCell ref="J24:P25"/>
    <mergeCell ref="G32:K35"/>
    <mergeCell ref="A32:A35"/>
    <mergeCell ref="P27:T30"/>
    <mergeCell ref="P31:T34"/>
    <mergeCell ref="U31:Y34"/>
    <mergeCell ref="Z31:AD34"/>
    <mergeCell ref="L32:M35"/>
    <mergeCell ref="B28:F31"/>
    <mergeCell ref="O32:O33"/>
    <mergeCell ref="U37:Y40"/>
    <mergeCell ref="Z37:AD40"/>
    <mergeCell ref="O38:O39"/>
    <mergeCell ref="P43:T46"/>
    <mergeCell ref="U43:Y46"/>
    <mergeCell ref="Z43:AD46"/>
    <mergeCell ref="O44:O45"/>
    <mergeCell ref="A38:A41"/>
    <mergeCell ref="B38:F41"/>
    <mergeCell ref="G38:K41"/>
    <mergeCell ref="L38:M41"/>
    <mergeCell ref="P37:T40"/>
  </mergeCells>
  <conditionalFormatting sqref="U56:Y57">
    <cfRule type="cellIs" dxfId="1" priority="1" operator="lessThan">
      <formula>1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  <headerFooter>
    <oddHeader>&amp;L&amp;"Arial"&amp;10&amp;K000000&amp;1#</oddHeader>
    <oddFooter>&amp;C&amp;"arial,Regular"&amp;11Saudi Aramco: Company General Use&amp;L&amp;1#&amp;"Arial"&amp;10&amp;K000000Saudi Aramco: Company General Use</oddFooter>
    <evenFooter>&amp;C&amp;"arial,Regular"&amp;11Saudi Aramco: Company General Use</evenFooter>
    <firstFooter>&amp;C&amp;"arial,Regular"&amp;11Saudi Aramco: Company General Use</first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>
                <anchor moveWithCells="1" sizeWithCells="1">
                  <from>
                    <xdr:col>11</xdr:col>
                    <xdr:colOff>285750</xdr:colOff>
                    <xdr:row>23</xdr:row>
                    <xdr:rowOff>76200</xdr:rowOff>
                  </from>
                  <to>
                    <xdr:col>15</xdr:col>
                    <xdr:colOff>508000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Almulla, Abdullraheem U</dc:creator>
  <cp:lastModifiedBy>Alajmi, Abdulhadi N</cp:lastModifiedBy>
  <dcterms:created xsi:type="dcterms:W3CDTF">2015-01-19T07:00:11Z</dcterms:created>
  <dcterms:modified xsi:type="dcterms:W3CDTF">2022-04-18T08:04:10Z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738a19ff-4eb6-4c3b-b8ef-6c8273136769</vt:lpwstr>
  </property>
  <property fmtid="{D5CDD505-2E9C-101B-9397-08002B2CF9AE}" pid="3" name="ARMCOClassification">
    <vt:lpwstr>Company General Use</vt:lpwstr>
  </property>
  <property fmtid="{D5CDD505-2E9C-101B-9397-08002B2CF9AE}" pid="4" name="MSIP_Label_b176ec7a-5c1c-40d8-b713-034aac8a6cec_Enabled">
    <vt:lpwstr>True</vt:lpwstr>
  </property>
  <property fmtid="{D5CDD505-2E9C-101B-9397-08002B2CF9AE}" pid="5" name="MSIP_Label_b176ec7a-5c1c-40d8-b713-034aac8a6cec_SiteId">
    <vt:lpwstr>5a1e0c10-68b1-4667-974b-f394ba989c51</vt:lpwstr>
  </property>
  <property fmtid="{D5CDD505-2E9C-101B-9397-08002B2CF9AE}" pid="6" name="MSIP_Label_b176ec7a-5c1c-40d8-b713-034aac8a6cec_Owner">
    <vt:lpwstr>alajan0a@aramco.com</vt:lpwstr>
  </property>
  <property fmtid="{D5CDD505-2E9C-101B-9397-08002B2CF9AE}" pid="7" name="MSIP_Label_b176ec7a-5c1c-40d8-b713-034aac8a6cec_SetDate">
    <vt:lpwstr>2022-04-18T04:58:15.8877320Z</vt:lpwstr>
  </property>
  <property fmtid="{D5CDD505-2E9C-101B-9397-08002B2CF9AE}" pid="8" name="MSIP_Label_b176ec7a-5c1c-40d8-b713-034aac8a6cec_Name">
    <vt:lpwstr>Company General Use</vt:lpwstr>
  </property>
  <property fmtid="{D5CDD505-2E9C-101B-9397-08002B2CF9AE}" pid="9" name="MSIP_Label_b176ec7a-5c1c-40d8-b713-034aac8a6cec_Application">
    <vt:lpwstr>Microsoft Azure Information Protection</vt:lpwstr>
  </property>
  <property fmtid="{D5CDD505-2E9C-101B-9397-08002B2CF9AE}" pid="10" name="MSIP_Label_b176ec7a-5c1c-40d8-b713-034aac8a6cec_ActionId">
    <vt:lpwstr>8806df64-50c1-4cab-ada4-7b813a73a2d6</vt:lpwstr>
  </property>
  <property fmtid="{D5CDD505-2E9C-101B-9397-08002B2CF9AE}" pid="11" name="MSIP_Label_b176ec7a-5c1c-40d8-b713-034aac8a6cec_Extended_MSFT_Method">
    <vt:lpwstr>Automatic</vt:lpwstr>
  </property>
  <property fmtid="{D5CDD505-2E9C-101B-9397-08002B2CF9AE}" pid="12" name="Sensitivity">
    <vt:lpwstr>Company General Use</vt:lpwstr>
  </property>
</Properties>
</file>